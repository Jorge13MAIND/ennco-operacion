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8_{015B1065-F0C4-4D7E-B6FA-BC75AA0B0274}" xr6:coauthVersionLast="47" xr6:coauthVersionMax="47" xr10:uidLastSave="{00000000-0000-0000-0000-000000000000}"/>
  <bookViews>
    <workbookView xWindow="-120" yWindow="-120" windowWidth="29040" windowHeight="15720" xr2:uid="{A826C83E-E64D-4416-B08F-EC73BD6DA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1" l="1"/>
  <c r="H14" i="1"/>
  <c r="H19" i="1"/>
  <c r="H23" i="1"/>
  <c r="H25" i="1"/>
  <c r="H16" i="1"/>
  <c r="H22" i="1"/>
  <c r="H17" i="1"/>
  <c r="H18" i="1"/>
  <c r="H15" i="1"/>
  <c r="H26" i="1"/>
  <c r="H24" i="1"/>
  <c r="H20" i="1"/>
  <c r="H21" i="1"/>
  <c r="H13" i="1"/>
  <c r="H11" i="1"/>
  <c r="H10" i="1"/>
  <c r="H9" i="1"/>
  <c r="E23" i="1" l="1"/>
  <c r="E19" i="1"/>
  <c r="E13" i="1"/>
</calcChain>
</file>

<file path=xl/sharedStrings.xml><?xml version="1.0" encoding="utf-8"?>
<sst xmlns="http://schemas.openxmlformats.org/spreadsheetml/2006/main" count="74" uniqueCount="43">
  <si>
    <t xml:space="preserve">PROYECTOS </t>
  </si>
  <si>
    <t xml:space="preserve">VENTAS </t>
  </si>
  <si>
    <t xml:space="preserve">FECHA DE PAGO </t>
  </si>
  <si>
    <t xml:space="preserve">RANCHO </t>
  </si>
  <si>
    <t>CASA</t>
  </si>
  <si>
    <t>PARABRISAS</t>
  </si>
  <si>
    <t>LAODIKEA</t>
  </si>
  <si>
    <t>ASIAN</t>
  </si>
  <si>
    <t>EDMUNDO CASA</t>
  </si>
  <si>
    <t>EDMUNDO FABRICA</t>
  </si>
  <si>
    <t>ALDO SANTOYO</t>
  </si>
  <si>
    <t>FRIDA ESCAÑEDO</t>
  </si>
  <si>
    <t>DAVID MARTINEZ</t>
  </si>
  <si>
    <t>LUIS SAAVEDRA</t>
  </si>
  <si>
    <t xml:space="preserve">VERIFICENTRO VALLEJO </t>
  </si>
  <si>
    <t>VERIFICENTRO PORTALES</t>
  </si>
  <si>
    <t xml:space="preserve">MENDOZA BOOTS </t>
  </si>
  <si>
    <t>AZCAPOTZALCO</t>
  </si>
  <si>
    <t>VIÑA DEL MAR</t>
  </si>
  <si>
    <t xml:space="preserve">MAESTRO PEDRO </t>
  </si>
  <si>
    <t>CARBONAARA</t>
  </si>
  <si>
    <t>SCHNEIDER</t>
  </si>
  <si>
    <t>ZONA</t>
  </si>
  <si>
    <t>GUADALAJARA</t>
  </si>
  <si>
    <t xml:space="preserve">SAN FRANCISCO DEL RINCON </t>
  </si>
  <si>
    <t>CDMX</t>
  </si>
  <si>
    <t>SAN LUIS POTOSI</t>
  </si>
  <si>
    <t>VALLE DE LOS REYES</t>
  </si>
  <si>
    <t>LEON</t>
  </si>
  <si>
    <t>IRAPUATO</t>
  </si>
  <si>
    <t xml:space="preserve">LA PIEDAD </t>
  </si>
  <si>
    <t>LAGOS DE MORENO</t>
  </si>
  <si>
    <t>TAMAÑO kWp</t>
  </si>
  <si>
    <t>Columna1</t>
  </si>
  <si>
    <t>Columna2</t>
  </si>
  <si>
    <t>Columna3</t>
  </si>
  <si>
    <t>Columna4</t>
  </si>
  <si>
    <t>Columna5</t>
  </si>
  <si>
    <t>TIPO DE OBRA</t>
  </si>
  <si>
    <t>INSTALACION FOTOVOLTAICA</t>
  </si>
  <si>
    <t>Columna6</t>
  </si>
  <si>
    <t xml:space="preserve">MANTENIMIENTO ELECTRICO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</si>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</sst>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/>
    <xf numFmtId="16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C56661-5D10-4CEE-AF16-6DABFF036ED1}" name="Tabla6" displayName="Tabla6" ref="D8:I29" totalsRowShown="0" tableBorderDxfId="6">
  <autoFilter ref="D8:I29" xr:uid="{F0C56661-5D10-4CEE-AF16-6DABFF036ED1}"/>
  <sortState xmlns:xlrd2="http://schemas.microsoft.com/office/spreadsheetml/2017/richdata2" ref="D9:H29">
    <sortCondition ref="F8:F29"/>
  </sortState>
  <tableColumns count="6">
    <tableColumn id="1" xr3:uid="{8BE8E110-75ED-46C6-A13F-6CD7094E1771}" name="Columna2" dataDxfId="5"/>
    <tableColumn id="2" xr3:uid="{98E00816-E2BC-48A7-B526-58A2AD1AEDA0}" name="Columna1" dataDxfId="4"/>
    <tableColumn id="3" xr3:uid="{D04823F2-00EE-420A-BE4D-ACEE113D905A}" name="Columna3" dataDxfId="3"/>
    <tableColumn id="4" xr3:uid="{7AA7A996-AE01-43B9-8099-17C6206C2D83}" name="Columna4" dataDxfId="2"/>
    <tableColumn id="5" xr3:uid="{D22592B5-A296-4F79-9E5D-61D3E0FD045B}" name="Columna5" dataDxfId="1">
      <calculatedColumnFormula>4*620</calculatedColumnFormula>
    </tableColumn>
    <tableColumn id="6" xr3:uid="{AB9330E5-5AF1-4315-A880-E90B698CA4B5}" name="Columna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3868-B131-4A8E-8639-01035D0E38DC}">
  <dimension ref="D7:I29"/>
  <sheetViews>
    <sheetView tabSelected="1" workbookViewId="0">
      <selection activeCell="H13" sqref="H13"/>
    </sheetView>
  </sheetViews>
  <sheetFormatPr baseColWidth="10" defaultRowHeight="15" x14ac:dyDescent="0.25"/>
  <cols>
    <col min="4" max="4" width="26" customWidth="1"/>
    <col min="5" max="5" width="19" customWidth="1"/>
    <col min="6" max="6" width="31" customWidth="1"/>
    <col min="7" max="7" width="36.140625" customWidth="1"/>
    <col min="8" max="8" width="19.5703125" customWidth="1"/>
    <col min="9" max="9" width="26.5703125" customWidth="1"/>
  </cols>
  <sheetData>
    <row r="7" spans="4:9" x14ac:dyDescent="0.25">
      <c r="D7" s="10" t="s">
        <v>0</v>
      </c>
      <c r="E7" s="10" t="s">
        <v>1</v>
      </c>
      <c r="F7" s="10" t="s">
        <v>2</v>
      </c>
      <c r="G7" s="10" t="s">
        <v>22</v>
      </c>
      <c r="H7" s="11" t="s">
        <v>32</v>
      </c>
      <c r="I7" s="14" t="s">
        <v>38</v>
      </c>
    </row>
    <row r="8" spans="4:9" hidden="1" x14ac:dyDescent="0.25">
      <c r="D8" t="s">
        <v>34</v>
      </c>
      <c r="E8" t="s">
        <v>33</v>
      </c>
      <c r="F8" t="s">
        <v>35</v>
      </c>
      <c r="G8" t="s">
        <v>36</v>
      </c>
      <c r="H8" t="s">
        <v>37</v>
      </c>
      <c r="I8" s="5" t="s">
        <v>40</v>
      </c>
    </row>
    <row r="9" spans="4:9" x14ac:dyDescent="0.25">
      <c r="D9" s="2" t="s">
        <v>4</v>
      </c>
      <c r="E9" s="3">
        <v>64623.839999999997</v>
      </c>
      <c r="F9" s="4">
        <v>45989</v>
      </c>
      <c r="G9" s="1" t="s">
        <v>23</v>
      </c>
      <c r="H9" s="12">
        <f t="shared" ref="H9:H29" si="0">4*620</f>
        <v>2480</v>
      </c>
      <c r="I9" s="5" t="s">
        <v>39</v>
      </c>
    </row>
    <row r="10" spans="4:9" x14ac:dyDescent="0.25">
      <c r="D10" s="2" t="s">
        <v>3</v>
      </c>
      <c r="E10" s="3">
        <v>195241.7</v>
      </c>
      <c r="F10" s="4">
        <v>45992</v>
      </c>
      <c r="G10" s="1" t="s">
        <v>23</v>
      </c>
      <c r="H10" s="12">
        <f>15*620</f>
        <v>9300</v>
      </c>
      <c r="I10" s="5" t="s">
        <v>39</v>
      </c>
    </row>
    <row r="11" spans="4:9" x14ac:dyDescent="0.25">
      <c r="D11" s="2" t="s">
        <v>5</v>
      </c>
      <c r="E11" s="3">
        <v>75879.22</v>
      </c>
      <c r="F11" s="4">
        <v>45994</v>
      </c>
      <c r="G11" s="1" t="s">
        <v>29</v>
      </c>
      <c r="H11" s="12">
        <f>6*620</f>
        <v>3720</v>
      </c>
      <c r="I11" s="5" t="s">
        <v>39</v>
      </c>
    </row>
    <row r="12" spans="4:9" x14ac:dyDescent="0.25">
      <c r="D12" s="2" t="s">
        <v>7</v>
      </c>
      <c r="E12" s="3">
        <v>685356.4</v>
      </c>
      <c r="F12" s="4">
        <v>46010</v>
      </c>
      <c r="G12" s="1" t="s">
        <v>23</v>
      </c>
      <c r="H12" s="12">
        <f>65*620</f>
        <v>40300</v>
      </c>
      <c r="I12" s="5" t="s">
        <v>39</v>
      </c>
    </row>
    <row r="13" spans="4:9" x14ac:dyDescent="0.25">
      <c r="D13" s="2" t="s">
        <v>11</v>
      </c>
      <c r="E13" s="3">
        <f>137145.18+13920</f>
        <v>151065.18</v>
      </c>
      <c r="F13" s="4">
        <v>46044</v>
      </c>
      <c r="G13" s="1" t="s">
        <v>26</v>
      </c>
      <c r="H13" s="12">
        <f>10*645</f>
        <v>6450</v>
      </c>
      <c r="I13" s="5" t="s">
        <v>39</v>
      </c>
    </row>
    <row r="14" spans="4:9" x14ac:dyDescent="0.25">
      <c r="D14" s="2" t="s">
        <v>12</v>
      </c>
      <c r="E14" s="3">
        <v>93541.27</v>
      </c>
      <c r="F14" s="4">
        <v>46045</v>
      </c>
      <c r="G14" s="1" t="s">
        <v>24</v>
      </c>
      <c r="H14" s="12">
        <f>8*645</f>
        <v>5160</v>
      </c>
      <c r="I14" s="5" t="s">
        <v>39</v>
      </c>
    </row>
    <row r="15" spans="4:9" x14ac:dyDescent="0.25">
      <c r="D15" s="2" t="s">
        <v>9</v>
      </c>
      <c r="E15" s="3">
        <v>386935.2</v>
      </c>
      <c r="F15" s="4">
        <v>46080</v>
      </c>
      <c r="G15" s="1" t="s">
        <v>24</v>
      </c>
      <c r="H15" s="12">
        <f>37*645</f>
        <v>23865</v>
      </c>
      <c r="I15" s="5" t="s">
        <v>39</v>
      </c>
    </row>
    <row r="16" spans="4:9" x14ac:dyDescent="0.25">
      <c r="D16" s="2" t="s">
        <v>10</v>
      </c>
      <c r="E16" s="3">
        <v>72274.539999999994</v>
      </c>
      <c r="F16" s="4">
        <v>46081</v>
      </c>
      <c r="G16" s="1" t="s">
        <v>28</v>
      </c>
      <c r="H16" s="12">
        <f>6*645</f>
        <v>3870</v>
      </c>
      <c r="I16" s="5" t="s">
        <v>39</v>
      </c>
    </row>
    <row r="17" spans="4:9" x14ac:dyDescent="0.25">
      <c r="D17" s="2" t="s">
        <v>27</v>
      </c>
      <c r="E17" s="3">
        <v>399173.34</v>
      </c>
      <c r="F17" s="4">
        <v>46081</v>
      </c>
      <c r="G17" s="1" t="s">
        <v>31</v>
      </c>
      <c r="H17" s="12">
        <f>6*645</f>
        <v>3870</v>
      </c>
      <c r="I17" s="5" t="s">
        <v>39</v>
      </c>
    </row>
    <row r="18" spans="4:9" x14ac:dyDescent="0.25">
      <c r="D18" s="2" t="s">
        <v>8</v>
      </c>
      <c r="E18" s="3">
        <v>83064.800000000003</v>
      </c>
      <c r="F18" s="4">
        <v>46094</v>
      </c>
      <c r="G18" s="1" t="s">
        <v>28</v>
      </c>
      <c r="H18" s="12">
        <f>7*645</f>
        <v>4515</v>
      </c>
      <c r="I18" s="5" t="s">
        <v>39</v>
      </c>
    </row>
    <row r="19" spans="4:9" x14ac:dyDescent="0.25">
      <c r="D19" s="2" t="s">
        <v>13</v>
      </c>
      <c r="E19" s="3">
        <f>70000+12000+10883.44</f>
        <v>92883.44</v>
      </c>
      <c r="F19" s="4">
        <v>46124</v>
      </c>
      <c r="G19" s="1" t="s">
        <v>28</v>
      </c>
      <c r="H19" s="12">
        <f>5*645</f>
        <v>3225</v>
      </c>
      <c r="I19" s="5" t="s">
        <v>39</v>
      </c>
    </row>
    <row r="20" spans="4:9" x14ac:dyDescent="0.25">
      <c r="D20" s="2" t="s">
        <v>14</v>
      </c>
      <c r="E20" s="3">
        <v>700214.2</v>
      </c>
      <c r="F20" s="4">
        <v>46135</v>
      </c>
      <c r="G20" s="1" t="s">
        <v>25</v>
      </c>
      <c r="H20" s="12">
        <f>50*650</f>
        <v>32500</v>
      </c>
      <c r="I20" s="5" t="s">
        <v>39</v>
      </c>
    </row>
    <row r="21" spans="4:9" x14ac:dyDescent="0.25">
      <c r="D21" s="2" t="s">
        <v>15</v>
      </c>
      <c r="E21" s="3">
        <v>796880.11</v>
      </c>
      <c r="F21" s="4">
        <v>46135</v>
      </c>
      <c r="G21" s="1" t="s">
        <v>25</v>
      </c>
      <c r="H21" s="12">
        <f>60*650</f>
        <v>39000</v>
      </c>
      <c r="I21" s="5" t="s">
        <v>39</v>
      </c>
    </row>
    <row r="22" spans="4:9" x14ac:dyDescent="0.25">
      <c r="D22" s="2" t="s">
        <v>16</v>
      </c>
      <c r="E22" s="3">
        <v>970243.27</v>
      </c>
      <c r="F22" s="4">
        <v>46142</v>
      </c>
      <c r="G22" s="1" t="s">
        <v>28</v>
      </c>
      <c r="H22" s="12">
        <f>85*645</f>
        <v>54825</v>
      </c>
      <c r="I22" s="5" t="s">
        <v>39</v>
      </c>
    </row>
    <row r="23" spans="4:9" x14ac:dyDescent="0.25">
      <c r="D23" s="2" t="s">
        <v>18</v>
      </c>
      <c r="E23" s="3">
        <f>276509.93+2046.88</f>
        <v>278556.81</v>
      </c>
      <c r="F23" s="4">
        <v>46148</v>
      </c>
      <c r="G23" s="1" t="s">
        <v>28</v>
      </c>
      <c r="H23" s="12">
        <f>6*650</f>
        <v>3900</v>
      </c>
      <c r="I23" s="5" t="s">
        <v>39</v>
      </c>
    </row>
    <row r="24" spans="4:9" x14ac:dyDescent="0.25">
      <c r="D24" s="2" t="s">
        <v>17</v>
      </c>
      <c r="E24" s="3">
        <v>649600.28</v>
      </c>
      <c r="F24" s="4">
        <v>46155</v>
      </c>
      <c r="G24" s="1" t="s">
        <v>25</v>
      </c>
      <c r="H24" s="12">
        <f>40*650</f>
        <v>26000</v>
      </c>
      <c r="I24" s="5" t="s">
        <v>39</v>
      </c>
    </row>
    <row r="25" spans="4:9" x14ac:dyDescent="0.25">
      <c r="D25" s="2" t="s">
        <v>19</v>
      </c>
      <c r="E25" s="3">
        <v>81988.27</v>
      </c>
      <c r="F25" s="4">
        <v>46164</v>
      </c>
      <c r="G25" s="1" t="s">
        <v>24</v>
      </c>
      <c r="H25" s="12">
        <f>7*645</f>
        <v>4515</v>
      </c>
      <c r="I25" s="5" t="s">
        <v>39</v>
      </c>
    </row>
    <row r="26" spans="4:9" x14ac:dyDescent="0.25">
      <c r="D26" s="2" t="s">
        <v>20</v>
      </c>
      <c r="E26" s="3">
        <v>170000</v>
      </c>
      <c r="F26" s="4">
        <v>46189</v>
      </c>
      <c r="G26" s="1" t="s">
        <v>28</v>
      </c>
      <c r="H26" s="12">
        <f>16*650</f>
        <v>10400</v>
      </c>
      <c r="I26" s="5" t="s">
        <v>39</v>
      </c>
    </row>
    <row r="27" spans="4:9" x14ac:dyDescent="0.25">
      <c r="D27" s="2" t="s">
        <v>21</v>
      </c>
      <c r="E27" s="3">
        <v>2312752.87</v>
      </c>
      <c r="F27" s="4">
        <v>46211</v>
      </c>
      <c r="G27" s="1" t="s">
        <v>28</v>
      </c>
      <c r="H27" s="12" t="s">
        <v>42</v>
      </c>
      <c r="I27" s="5" t="s">
        <v>41</v>
      </c>
    </row>
    <row r="28" spans="4:9" x14ac:dyDescent="0.25">
      <c r="D28" s="2" t="s">
        <v>6</v>
      </c>
      <c r="E28" s="3">
        <v>151393.57</v>
      </c>
      <c r="F28" s="4"/>
      <c r="G28" s="1" t="s">
        <v>30</v>
      </c>
      <c r="H28" s="12" t="s">
        <v>42</v>
      </c>
      <c r="I28" s="5" t="s">
        <v>41</v>
      </c>
    </row>
    <row r="29" spans="4:9" x14ac:dyDescent="0.25">
      <c r="D29" s="9"/>
      <c r="E29" s="6"/>
      <c r="F29" s="7"/>
      <c r="G29" s="8"/>
      <c r="H29" s="13"/>
      <c r="I29" s="5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2026-08-07T18:52:39Z</dcterms:created>
  <dcterms:modified xsi:type="dcterms:W3CDTF">2026-08-07T20:11:54Z</dcterms:modified>
</cp:coreProperties>
</file>